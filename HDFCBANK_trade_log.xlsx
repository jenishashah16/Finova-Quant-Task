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87686de82def5a/Desktop/"/>
    </mc:Choice>
  </mc:AlternateContent>
  <xr:revisionPtr revIDLastSave="1" documentId="8_{A5815376-07AB-4449-B287-DE031E87C211}" xr6:coauthVersionLast="47" xr6:coauthVersionMax="47" xr10:uidLastSave="{15D2F61A-3A59-467D-87FF-2335CBA8629B}"/>
  <bookViews>
    <workbookView xWindow="-108" yWindow="-108" windowWidth="23256" windowHeight="12456" xr2:uid="{188570B8-FB68-4D2A-B6D9-3EC63D856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F4" i="1"/>
  <c r="F3" i="1"/>
  <c r="F2" i="1"/>
</calcChain>
</file>

<file path=xl/sharedStrings.xml><?xml version="1.0" encoding="utf-8"?>
<sst xmlns="http://schemas.openxmlformats.org/spreadsheetml/2006/main" count="17" uniqueCount="17">
  <si>
    <t>Trade</t>
  </si>
  <si>
    <t xml:space="preserve">Entry Date </t>
  </si>
  <si>
    <t>Entry Price</t>
  </si>
  <si>
    <t>Exit Date</t>
  </si>
  <si>
    <t xml:space="preserve">Exit Price </t>
  </si>
  <si>
    <t>P&amp;L%</t>
  </si>
  <si>
    <t>19 March '25</t>
  </si>
  <si>
    <t>29 August '25</t>
  </si>
  <si>
    <t>16 Oct '25</t>
  </si>
  <si>
    <t>5 Jan '26</t>
  </si>
  <si>
    <t>3 July '26</t>
  </si>
  <si>
    <t>23 July '26</t>
  </si>
  <si>
    <t>Total Trades</t>
  </si>
  <si>
    <t>Number Of Winners</t>
  </si>
  <si>
    <t>Win Rate</t>
  </si>
  <si>
    <t>Largest Single Winner</t>
  </si>
  <si>
    <t>Largest Single Loser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</si>
</sst>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1" applyNumberFormat="1" applyFont="1"/>
    <xf numFmtId="10" fontId="0" fillId="0" borderId="0" xfId="0" applyNumberFormat="1"/>
    <xf numFmtId="0" fontId="0" fillId="2" borderId="0" xfId="0" applyFill="1"/>
    <xf numFmtId="0" fontId="0" fillId="3" borderId="0" xfId="0" applyFill="1"/>
    <xf numFmtId="10" fontId="0" fillId="2" borderId="0" xfId="1" applyNumberFormat="1" applyFont="1" applyFill="1"/>
    <xf numFmtId="10" fontId="0" fillId="3" borderId="0" xfId="1" applyNumberFormat="1" applyFont="1" applyFill="1"/>
    <xf numFmtId="10" fontId="0" fillId="3" borderId="0" xfId="0" applyNumberFormat="1" applyFill="1"/>
    <xf numFmtId="0" fontId="0" fillId="4" borderId="0" xfId="0" applyFill="1"/>
    <xf numFmtId="0" fontId="0" fillId="5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9C36-2283-4E59-A9D6-45D897E355FF}">
  <dimension ref="A1:F10"/>
  <sheetViews>
    <sheetView tabSelected="1" workbookViewId="0"/>
  </sheetViews>
  <sheetFormatPr defaultRowHeight="14.4" x14ac:dyDescent="0.3"/>
  <cols>
    <col min="1" max="1" width="19.6640625" customWidth="1"/>
    <col min="2" max="2" width="12.21875" customWidth="1"/>
    <col min="3" max="4" width="11.6640625" customWidth="1"/>
    <col min="5" max="5" width="19.5546875" customWidth="1"/>
  </cols>
  <sheetData>
    <row r="1" spans="1:6" x14ac:dyDescent="0.3">
      <c r="A1" s="8" t="s">
        <v>0</v>
      </c>
      <c r="B1" s="9" t="s">
        <v>1</v>
      </c>
      <c r="C1" s="8" t="s">
        <v>2</v>
      </c>
      <c r="D1" s="9" t="s">
        <v>3</v>
      </c>
      <c r="E1" s="8" t="s">
        <v>4</v>
      </c>
      <c r="F1" s="9" t="s">
        <v>5</v>
      </c>
    </row>
    <row r="2" spans="1:6" x14ac:dyDescent="0.3">
      <c r="A2">
        <v>1</v>
      </c>
      <c r="B2" t="s">
        <v>6</v>
      </c>
      <c r="C2">
        <v>872.05</v>
      </c>
      <c r="D2" t="s">
        <v>7</v>
      </c>
      <c r="E2">
        <v>951.6</v>
      </c>
      <c r="F2" s="5">
        <f>(E2-C2)/C2</f>
        <v>9.12218336104582E-2</v>
      </c>
    </row>
    <row r="3" spans="1:6" x14ac:dyDescent="0.3">
      <c r="A3">
        <v>2</v>
      </c>
      <c r="B3" t="s">
        <v>8</v>
      </c>
      <c r="C3">
        <v>994.35</v>
      </c>
      <c r="D3" t="s">
        <v>9</v>
      </c>
      <c r="E3">
        <v>977.5</v>
      </c>
      <c r="F3" s="6">
        <f>((E3-C3)/C3)</f>
        <v>-1.6945743450495321E-2</v>
      </c>
    </row>
    <row r="4" spans="1:6" x14ac:dyDescent="0.3">
      <c r="A4">
        <v>3</v>
      </c>
      <c r="B4" t="s">
        <v>10</v>
      </c>
      <c r="C4">
        <v>801.05</v>
      </c>
      <c r="D4" t="s">
        <v>11</v>
      </c>
      <c r="E4">
        <v>747.25</v>
      </c>
      <c r="F4" s="7">
        <f>((E4-C4)/C4)</f>
        <v>-6.7161850071780729E-2</v>
      </c>
    </row>
    <row r="6" spans="1:6" x14ac:dyDescent="0.3">
      <c r="A6" t="s">
        <v>12</v>
      </c>
      <c r="B6">
        <f>COUNT(A2:A4)</f>
        <v>3</v>
      </c>
    </row>
    <row r="7" spans="1:6" x14ac:dyDescent="0.3">
      <c r="A7" t="s">
        <v>13</v>
      </c>
      <c r="B7">
        <f>COUNTIF(F2:F4,"&gt;0")</f>
        <v>1</v>
      </c>
    </row>
    <row r="8" spans="1:6" x14ac:dyDescent="0.3">
      <c r="A8" t="s">
        <v>14</v>
      </c>
      <c r="B8" s="1">
        <f>B7/B6</f>
        <v>0.33333333333333331</v>
      </c>
    </row>
    <row r="9" spans="1:6" x14ac:dyDescent="0.3">
      <c r="A9" s="3" t="s">
        <v>15</v>
      </c>
      <c r="B9" s="2">
        <f>MAX(F2:F4)</f>
        <v>9.12218336104582E-2</v>
      </c>
    </row>
    <row r="10" spans="1:6" x14ac:dyDescent="0.3">
      <c r="A10" s="4" t="s">
        <v>16</v>
      </c>
      <c r="B10" s="2">
        <f>MIN(F2:F4)</f>
        <v>-6.7161850071780729E-2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Jenisha Shah</dc:creator>
  <cp:lastModifiedBy>Jenisha Shah</cp:lastModifiedBy>
  <dcterms:created xsi:type="dcterms:W3CDTF">2026-08-29T12:25:58Z</dcterms:created>
  <dcterms:modified xsi:type="dcterms:W3CDTF">2026-08-29T13:53:47Z</dcterms:modified>
</cp:coreProperties>
</file>